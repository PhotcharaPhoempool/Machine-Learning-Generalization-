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ti365-my.sharepoint.com/personal/6610301008_ms_cdti_ac_th/Documents/"/>
    </mc:Choice>
  </mc:AlternateContent>
  <xr:revisionPtr revIDLastSave="176" documentId="8_{3B1FFE63-8102-ED40-83F9-1FB714214CDD}" xr6:coauthVersionLast="47" xr6:coauthVersionMax="47" xr10:uidLastSave="{B7FCDE29-D610-43D3-8C40-60B19E239FF3}"/>
  <bookViews>
    <workbookView xWindow="-120" yWindow="-120" windowWidth="29040" windowHeight="15720" activeTab="3" xr2:uid="{E08599C0-2E70-4653-8C2D-3503B5FB7A02}"/>
  </bookViews>
  <sheets>
    <sheet name="Holdout_L1" sheetId="1" r:id="rId1"/>
    <sheet name="k-fold_Cross-Validation_L2" sheetId="2" r:id="rId2"/>
    <sheet name="Holdout_L3" sheetId="3" r:id="rId3"/>
    <sheet name="k-fold_Cross-Validation_L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4" l="1"/>
  <c r="E14" i="4"/>
  <c r="F14" i="4"/>
  <c r="G14" i="4"/>
  <c r="C14" i="4"/>
  <c r="D13" i="4"/>
  <c r="E13" i="4"/>
  <c r="F13" i="4"/>
  <c r="G13" i="4"/>
  <c r="C13" i="4"/>
  <c r="D14" i="3"/>
  <c r="E14" i="3"/>
  <c r="F14" i="3"/>
  <c r="G14" i="3"/>
  <c r="C14" i="3"/>
  <c r="G13" i="3"/>
  <c r="F13" i="3"/>
  <c r="E13" i="3"/>
  <c r="D13" i="3"/>
  <c r="C13" i="3"/>
  <c r="D14" i="2"/>
  <c r="E14" i="2"/>
  <c r="F14" i="2"/>
  <c r="D13" i="2"/>
  <c r="E13" i="2"/>
  <c r="F13" i="2"/>
  <c r="C14" i="2"/>
  <c r="C13" i="2"/>
  <c r="D13" i="1"/>
  <c r="D14" i="1" s="1"/>
  <c r="E13" i="1"/>
  <c r="E14" i="1" s="1"/>
  <c r="F13" i="1"/>
  <c r="F14" i="1" s="1"/>
  <c r="G13" i="1"/>
  <c r="G14" i="1" s="1"/>
  <c r="C13" i="1"/>
  <c r="C14" i="1"/>
</calcChain>
</file>

<file path=xl/sharedStrings.xml><?xml version="1.0" encoding="utf-8"?>
<sst xmlns="http://schemas.openxmlformats.org/spreadsheetml/2006/main" count="21" uniqueCount="8">
  <si>
    <t>Seed</t>
  </si>
  <si>
    <t>AVG</t>
  </si>
  <si>
    <t>SD</t>
  </si>
  <si>
    <t>10-fold</t>
  </si>
  <si>
    <t>5-fold</t>
  </si>
  <si>
    <t>3-fold</t>
  </si>
  <si>
    <t>2-fold</t>
  </si>
  <si>
    <t>20-fold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</si>
</sst>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0" xfId="0" applyBorder="1"/>
    <xf numFmtId="0" fontId="0" fillId="0" borderId="9" xfId="0" applyBorder="1"/>
    <xf numFmtId="9" fontId="0" fillId="0" borderId="10" xfId="0" applyNumberFormat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0" fillId="0" borderId="8" xfId="0" applyBorder="1"/>
    <xf numFmtId="0" fontId="0" fillId="0" borderId="10" xfId="0" applyBorder="1"/>
    <xf numFmtId="0" fontId="0" fillId="0" borderId="0" xfId="0" applyFill="1" applyBorder="1"/>
    <xf numFmtId="0" fontId="0" fillId="0" borderId="3" xfId="0" applyFill="1" applyBorder="1"/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9373-E774-4D83-8CD8-0D6BDEFA6620}">
  <dimension ref="B2:H14"/>
  <sheetViews>
    <sheetView workbookViewId="0">
      <selection activeCell="J10" sqref="J10"/>
    </sheetView>
  </sheetViews>
  <sheetFormatPr defaultColWidth="8.85546875" defaultRowHeight="15" x14ac:dyDescent="0.25"/>
  <sheetData>
    <row r="2" spans="2:8" x14ac:dyDescent="0.25">
      <c r="B2" s="2" t="s">
        <v>0</v>
      </c>
      <c r="C2" s="3">
        <v>0.9</v>
      </c>
      <c r="D2" s="3">
        <v>0.8</v>
      </c>
      <c r="E2" s="3">
        <v>0.5</v>
      </c>
      <c r="F2" s="3">
        <v>0.2</v>
      </c>
      <c r="G2" s="9">
        <v>0.1</v>
      </c>
    </row>
    <row r="3" spans="2:8" x14ac:dyDescent="0.25">
      <c r="B3" s="7">
        <v>1</v>
      </c>
      <c r="C3" s="10">
        <v>8.3139000000000003</v>
      </c>
      <c r="D3" s="10">
        <v>7.9119999999999999</v>
      </c>
      <c r="E3" s="10">
        <v>8.4792000000000005</v>
      </c>
      <c r="F3" s="10">
        <v>8.7162000000000006</v>
      </c>
      <c r="G3" s="4">
        <v>18.349299999999999</v>
      </c>
    </row>
    <row r="4" spans="2:8" x14ac:dyDescent="0.25">
      <c r="B4" s="7">
        <v>2</v>
      </c>
      <c r="C4" s="10">
        <v>8.9505999999999997</v>
      </c>
      <c r="D4" s="10">
        <v>6.9898999999999996</v>
      </c>
      <c r="E4" s="10">
        <v>7.2534999999999998</v>
      </c>
      <c r="F4" s="10">
        <v>8.7590000000000003</v>
      </c>
      <c r="G4" s="4">
        <v>11.5359</v>
      </c>
    </row>
    <row r="5" spans="2:8" x14ac:dyDescent="0.25">
      <c r="B5" s="7">
        <v>3</v>
      </c>
      <c r="C5" s="10">
        <v>7.2500999999999998</v>
      </c>
      <c r="D5" s="10">
        <v>5.9095000000000004</v>
      </c>
      <c r="E5" s="10">
        <v>6.8254999999999999</v>
      </c>
      <c r="F5" s="10">
        <v>9.2272999999999996</v>
      </c>
      <c r="G5" s="4">
        <v>30.436299999999999</v>
      </c>
    </row>
    <row r="6" spans="2:8" x14ac:dyDescent="0.25">
      <c r="B6" s="7">
        <v>4</v>
      </c>
      <c r="C6" s="10">
        <v>9.5991</v>
      </c>
      <c r="D6" s="10">
        <v>8.4192999999999998</v>
      </c>
      <c r="E6" s="10">
        <v>6.9912000000000001</v>
      </c>
      <c r="F6" s="10">
        <v>7.3313300000000003</v>
      </c>
      <c r="G6" s="4">
        <v>33.031399999999998</v>
      </c>
    </row>
    <row r="7" spans="2:8" x14ac:dyDescent="0.25">
      <c r="B7" s="7">
        <v>5</v>
      </c>
      <c r="C7" s="10">
        <v>5.7962999999999996</v>
      </c>
      <c r="D7" s="10">
        <v>6.7381000000000002</v>
      </c>
      <c r="E7" s="10">
        <v>6.2887000000000004</v>
      </c>
      <c r="F7" s="10">
        <v>14.916600000000001</v>
      </c>
      <c r="G7" s="4">
        <v>32.265599999999999</v>
      </c>
    </row>
    <row r="8" spans="2:8" x14ac:dyDescent="0.25">
      <c r="B8" s="7">
        <v>6</v>
      </c>
      <c r="C8" s="10">
        <v>11.4916</v>
      </c>
      <c r="D8" s="10">
        <v>8.6172000000000004</v>
      </c>
      <c r="E8" s="10">
        <v>6.5979000000000001</v>
      </c>
      <c r="F8" s="10">
        <v>8.4039000000000001</v>
      </c>
      <c r="G8" s="4">
        <v>16.208100000000002</v>
      </c>
    </row>
    <row r="9" spans="2:8" x14ac:dyDescent="0.25">
      <c r="B9" s="7">
        <v>7</v>
      </c>
      <c r="C9" s="10">
        <v>6.5542999999999996</v>
      </c>
      <c r="D9" s="10">
        <v>8.7316000000000003</v>
      </c>
      <c r="E9" s="10">
        <v>7.9994100000000001</v>
      </c>
      <c r="F9" s="10">
        <v>9.0609000000000002</v>
      </c>
      <c r="G9" s="4">
        <v>18.619</v>
      </c>
    </row>
    <row r="10" spans="2:8" x14ac:dyDescent="0.25">
      <c r="B10" s="7">
        <v>8</v>
      </c>
      <c r="C10" s="10">
        <v>6.6231999999999998</v>
      </c>
      <c r="D10" s="10">
        <v>5.6445999999999996</v>
      </c>
      <c r="E10" s="10">
        <v>7.9278000000000004</v>
      </c>
      <c r="F10" s="10">
        <v>19.729199999999999</v>
      </c>
      <c r="G10" s="4">
        <v>23.744800000000001</v>
      </c>
    </row>
    <row r="11" spans="2:8" x14ac:dyDescent="0.25">
      <c r="B11" s="7">
        <v>9</v>
      </c>
      <c r="C11" s="10">
        <v>8.1393000000000004</v>
      </c>
      <c r="D11" s="10">
        <v>6.8865999999999996</v>
      </c>
      <c r="E11" s="10">
        <v>7.4013</v>
      </c>
      <c r="F11" s="10">
        <v>8.8102</v>
      </c>
      <c r="G11" s="4">
        <v>18.229199999999999</v>
      </c>
    </row>
    <row r="12" spans="2:8" x14ac:dyDescent="0.25">
      <c r="B12" s="7">
        <v>10</v>
      </c>
      <c r="C12" s="10">
        <v>8.5777999999999999</v>
      </c>
      <c r="D12" s="10">
        <v>8.7243999999999993</v>
      </c>
      <c r="E12" s="10">
        <v>8.3727</v>
      </c>
      <c r="F12" s="10">
        <v>14.2196</v>
      </c>
      <c r="G12" s="4">
        <v>9.5061</v>
      </c>
    </row>
    <row r="13" spans="2:8" x14ac:dyDescent="0.25">
      <c r="B13" s="6" t="s">
        <v>1</v>
      </c>
      <c r="C13" s="16">
        <f>AVERAGE(C3:C12)</f>
        <v>8.1296199999999992</v>
      </c>
      <c r="D13" s="16">
        <f t="shared" ref="D13:G13" si="0">AVERAGE(D3:D12)</f>
        <v>7.4573200000000002</v>
      </c>
      <c r="E13" s="16">
        <f t="shared" si="0"/>
        <v>7.4137209999999998</v>
      </c>
      <c r="F13" s="16">
        <f t="shared" si="0"/>
        <v>10.917422999999999</v>
      </c>
      <c r="G13" s="17">
        <f t="shared" si="0"/>
        <v>21.19257</v>
      </c>
      <c r="H13" s="1"/>
    </row>
    <row r="14" spans="2:8" x14ac:dyDescent="0.25">
      <c r="B14" s="2" t="s">
        <v>2</v>
      </c>
      <c r="C14" s="18">
        <f>_xlfn.STDEV.S(C3:C13)</f>
        <v>1.591856754108232</v>
      </c>
      <c r="D14" s="18">
        <f t="shared" ref="D14:G14" si="1">_xlfn.STDEV.S(D3:D13)</f>
        <v>1.1157922304802121</v>
      </c>
      <c r="E14" s="18">
        <f t="shared" si="1"/>
        <v>0.71720179794044026</v>
      </c>
      <c r="F14" s="18">
        <f t="shared" si="1"/>
        <v>3.7943486807304612</v>
      </c>
      <c r="G14" s="19">
        <f t="shared" si="1"/>
        <v>7.9554328465583835</v>
      </c>
      <c r="H14" s="1"/>
    </row>
  </sheetData>
  <pageMargins left="0.7" right="0.7" top="0.75" bottom="0.75" header="0.3" footer="0.3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4ED9-1B54-5348-B76C-B365C7487AA4}">
  <dimension ref="B2:F14"/>
  <sheetViews>
    <sheetView zoomScaleNormal="100" workbookViewId="0">
      <selection activeCell="F14" sqref="F14"/>
    </sheetView>
  </sheetViews>
  <sheetFormatPr defaultColWidth="11.42578125" defaultRowHeight="15" x14ac:dyDescent="0.25"/>
  <sheetData>
    <row r="2" spans="2:6" x14ac:dyDescent="0.25">
      <c r="B2" s="2" t="s">
        <v>0</v>
      </c>
      <c r="C2" s="2" t="s">
        <v>3</v>
      </c>
      <c r="D2" s="2" t="s">
        <v>4</v>
      </c>
      <c r="E2" s="2" t="s">
        <v>5</v>
      </c>
      <c r="F2" s="12" t="s">
        <v>6</v>
      </c>
    </row>
    <row r="3" spans="2:6" x14ac:dyDescent="0.25">
      <c r="B3" s="7">
        <v>1</v>
      </c>
      <c r="C3" s="10">
        <v>7.7816999999999998</v>
      </c>
      <c r="D3" s="10">
        <v>9.0856999999999992</v>
      </c>
      <c r="E3" s="10">
        <v>9.1033000000000008</v>
      </c>
      <c r="F3" s="4">
        <v>8.0958000000000006</v>
      </c>
    </row>
    <row r="4" spans="2:6" x14ac:dyDescent="0.25">
      <c r="B4" s="7">
        <v>2</v>
      </c>
      <c r="C4" s="10">
        <v>7.5468000000000002</v>
      </c>
      <c r="D4" s="10">
        <v>7.2545999999999999</v>
      </c>
      <c r="E4" s="10">
        <v>7.0496999999999996</v>
      </c>
      <c r="F4" s="4">
        <v>6.8631000000000002</v>
      </c>
    </row>
    <row r="5" spans="2:6" x14ac:dyDescent="0.25">
      <c r="B5" s="7">
        <v>3</v>
      </c>
      <c r="C5" s="10">
        <v>7.4641999999999999</v>
      </c>
      <c r="D5" s="10">
        <v>7.6310000000000002</v>
      </c>
      <c r="E5" s="10">
        <v>8.8069000000000006</v>
      </c>
      <c r="F5" s="4">
        <v>9.0195000000000007</v>
      </c>
    </row>
    <row r="6" spans="2:6" x14ac:dyDescent="0.25">
      <c r="B6" s="7">
        <v>4</v>
      </c>
      <c r="C6" s="10">
        <v>7.3022999999999998</v>
      </c>
      <c r="D6" s="10">
        <v>6.7792000000000003</v>
      </c>
      <c r="E6" s="10">
        <v>7.0316999999999998</v>
      </c>
      <c r="F6" s="4">
        <v>6.7549999999999999</v>
      </c>
    </row>
    <row r="7" spans="2:6" x14ac:dyDescent="0.25">
      <c r="B7" s="7">
        <v>5</v>
      </c>
      <c r="C7" s="10">
        <v>7.4188999999999998</v>
      </c>
      <c r="D7" s="10">
        <v>8.3613999999999997</v>
      </c>
      <c r="E7" s="10">
        <v>7.9629000000000003</v>
      </c>
      <c r="F7" s="4">
        <v>7.1531000000000002</v>
      </c>
    </row>
    <row r="8" spans="2:6" x14ac:dyDescent="0.25">
      <c r="B8" s="7">
        <v>6</v>
      </c>
      <c r="C8" s="10">
        <v>7.7072000000000003</v>
      </c>
      <c r="D8" s="10">
        <v>7.2812999999999999</v>
      </c>
      <c r="E8" s="10">
        <v>6.8627000000000002</v>
      </c>
      <c r="F8" s="4">
        <v>7.0590000000000002</v>
      </c>
    </row>
    <row r="9" spans="2:6" x14ac:dyDescent="0.25">
      <c r="B9" s="7">
        <v>7</v>
      </c>
      <c r="C9" s="10">
        <v>7.3975999999999997</v>
      </c>
      <c r="D9" s="10">
        <v>7.6300999999999997</v>
      </c>
      <c r="E9" s="10">
        <v>7.7999000000000001</v>
      </c>
      <c r="F9" s="4">
        <v>7.5880999999999998</v>
      </c>
    </row>
    <row r="10" spans="2:6" x14ac:dyDescent="0.25">
      <c r="B10" s="7">
        <v>8</v>
      </c>
      <c r="C10" s="10">
        <v>7.6096000000000004</v>
      </c>
      <c r="D10" s="10">
        <v>7.1680000000000001</v>
      </c>
      <c r="E10" s="10">
        <v>7.9221000000000004</v>
      </c>
      <c r="F10" s="4">
        <v>7.8343999999999996</v>
      </c>
    </row>
    <row r="11" spans="2:6" x14ac:dyDescent="0.25">
      <c r="B11" s="7">
        <v>9</v>
      </c>
      <c r="C11" s="10">
        <v>7.3342000000000001</v>
      </c>
      <c r="D11" s="10">
        <v>7.4214000000000002</v>
      </c>
      <c r="E11" s="10">
        <v>7.8517000000000001</v>
      </c>
      <c r="F11" s="4">
        <v>8.9117999999999995</v>
      </c>
    </row>
    <row r="12" spans="2:6" x14ac:dyDescent="0.25">
      <c r="B12" s="7">
        <v>10</v>
      </c>
      <c r="C12" s="10">
        <v>7.4275000000000002</v>
      </c>
      <c r="D12" s="10">
        <v>7.1700999999999997</v>
      </c>
      <c r="E12" s="10">
        <v>6.9092000000000002</v>
      </c>
      <c r="F12" s="4">
        <v>7.2911000000000001</v>
      </c>
    </row>
    <row r="13" spans="2:6" x14ac:dyDescent="0.25">
      <c r="B13" s="2" t="s">
        <v>1</v>
      </c>
      <c r="C13" s="18">
        <f>AVERAGE(C3:C12)</f>
        <v>7.4989999999999997</v>
      </c>
      <c r="D13" s="18">
        <f t="shared" ref="D13:F13" si="0">AVERAGE(D3:D12)</f>
        <v>7.5782800000000012</v>
      </c>
      <c r="E13" s="18">
        <f t="shared" si="0"/>
        <v>7.73001</v>
      </c>
      <c r="F13" s="18">
        <f t="shared" si="0"/>
        <v>7.6570899999999993</v>
      </c>
    </row>
    <row r="14" spans="2:6" x14ac:dyDescent="0.25">
      <c r="B14" s="2" t="s">
        <v>2</v>
      </c>
      <c r="C14" s="18">
        <f>_xlfn.STDEV.S(C3:C12)</f>
        <v>0.1586942973140498</v>
      </c>
      <c r="D14" s="18">
        <f t="shared" ref="D14:F14" si="1">_xlfn.STDEV.S(D3:D12)</f>
        <v>0.67347385794352332</v>
      </c>
      <c r="E14" s="18">
        <f t="shared" si="1"/>
        <v>0.78406782083354698</v>
      </c>
      <c r="F14" s="18">
        <f t="shared" si="1"/>
        <v>0.80615519935335311</v>
      </c>
    </row>
  </sheetData>
  <pageMargins left="0.7" right="0.7" top="0.75" bottom="0.75" header="0.3" footer="0.3"/>
  <headerFooter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476D-E7A2-EB44-A030-95644B78B815}">
  <dimension ref="B2:G14"/>
  <sheetViews>
    <sheetView workbookViewId="0">
      <selection activeCell="C14" sqref="C14"/>
    </sheetView>
  </sheetViews>
  <sheetFormatPr defaultColWidth="11.42578125" defaultRowHeight="15" x14ac:dyDescent="0.25"/>
  <sheetData>
    <row r="2" spans="2:7" x14ac:dyDescent="0.25">
      <c r="B2" s="2" t="s">
        <v>0</v>
      </c>
      <c r="C2" s="15">
        <v>0.9</v>
      </c>
      <c r="D2" s="3">
        <v>0.8</v>
      </c>
      <c r="E2" s="15">
        <v>0.5</v>
      </c>
      <c r="F2" s="3">
        <v>0.2</v>
      </c>
      <c r="G2" s="9">
        <v>0.1</v>
      </c>
    </row>
    <row r="3" spans="2:7" x14ac:dyDescent="0.25">
      <c r="B3" s="7">
        <v>1</v>
      </c>
      <c r="C3" s="13">
        <v>6.2987000000000002</v>
      </c>
      <c r="D3" s="10">
        <v>5.9325999999999999</v>
      </c>
      <c r="E3" s="22">
        <v>5.0979999999999999</v>
      </c>
      <c r="F3" s="10">
        <v>6.0759999999999996</v>
      </c>
      <c r="G3" s="4">
        <v>6.093</v>
      </c>
    </row>
    <row r="4" spans="2:7" x14ac:dyDescent="0.25">
      <c r="B4" s="7">
        <v>2</v>
      </c>
      <c r="C4" s="13">
        <v>6.8886000000000003</v>
      </c>
      <c r="D4" s="10">
        <v>5.9005000000000001</v>
      </c>
      <c r="E4" s="22">
        <v>6.0854999999999997</v>
      </c>
      <c r="F4" s="10">
        <v>6.4050000000000002</v>
      </c>
      <c r="G4" s="4">
        <v>8.4732000000000003</v>
      </c>
    </row>
    <row r="5" spans="2:7" x14ac:dyDescent="0.25">
      <c r="B5" s="7">
        <v>3</v>
      </c>
      <c r="C5" s="21">
        <v>5.5472999999999999</v>
      </c>
      <c r="D5" s="10">
        <v>6.5236999999999998</v>
      </c>
      <c r="E5" s="22">
        <v>6.2724000000000002</v>
      </c>
      <c r="F5" s="10">
        <v>6.5110000000000001</v>
      </c>
      <c r="G5" s="4">
        <v>6.1570999999999998</v>
      </c>
    </row>
    <row r="6" spans="2:7" x14ac:dyDescent="0.25">
      <c r="B6" s="7">
        <v>4</v>
      </c>
      <c r="C6" s="21">
        <v>5.9954000000000001</v>
      </c>
      <c r="D6" s="10">
        <v>5.6063000000000001</v>
      </c>
      <c r="E6" s="22">
        <v>6.0293999999999999</v>
      </c>
      <c r="F6" s="10">
        <v>6.0400999999999998</v>
      </c>
      <c r="G6" s="4">
        <v>6.9554999999999998</v>
      </c>
    </row>
    <row r="7" spans="2:7" x14ac:dyDescent="0.25">
      <c r="B7" s="7">
        <v>5</v>
      </c>
      <c r="C7" s="21">
        <v>5.4429999999999996</v>
      </c>
      <c r="D7" s="10">
        <v>5.1409000000000002</v>
      </c>
      <c r="E7" s="22">
        <v>6.1883999999999997</v>
      </c>
      <c r="F7" s="10">
        <v>6.5373000000000001</v>
      </c>
      <c r="G7" s="4">
        <v>6.7449000000000003</v>
      </c>
    </row>
    <row r="8" spans="2:7" x14ac:dyDescent="0.25">
      <c r="B8" s="7">
        <v>6</v>
      </c>
      <c r="C8" s="21">
        <v>5.9207999999999998</v>
      </c>
      <c r="D8" s="10">
        <v>6.2267000000000001</v>
      </c>
      <c r="E8" s="22">
        <v>6.0305</v>
      </c>
      <c r="F8" s="10">
        <v>5.7782</v>
      </c>
      <c r="G8" s="4">
        <v>5.9413999999999998</v>
      </c>
    </row>
    <row r="9" spans="2:7" x14ac:dyDescent="0.25">
      <c r="B9" s="7">
        <v>7</v>
      </c>
      <c r="C9" s="21">
        <v>6.1413000000000002</v>
      </c>
      <c r="D9" s="10">
        <v>5.7308000000000003</v>
      </c>
      <c r="E9" s="22">
        <v>5.5617000000000001</v>
      </c>
      <c r="F9" s="10">
        <v>6.7073999999999998</v>
      </c>
      <c r="G9" s="4">
        <v>6.6295000000000002</v>
      </c>
    </row>
    <row r="10" spans="2:7" x14ac:dyDescent="0.25">
      <c r="B10" s="7">
        <v>8</v>
      </c>
      <c r="C10" s="21">
        <v>5.7656999999999998</v>
      </c>
      <c r="D10" s="10">
        <v>6.8285999999999998</v>
      </c>
      <c r="E10" s="22">
        <v>6.8090000000000002</v>
      </c>
      <c r="F10" s="10">
        <v>6.3331</v>
      </c>
      <c r="G10" s="4">
        <v>6.7481999999999998</v>
      </c>
    </row>
    <row r="11" spans="2:7" x14ac:dyDescent="0.25">
      <c r="B11" s="7">
        <v>9</v>
      </c>
      <c r="C11" s="21">
        <v>5.2801999999999998</v>
      </c>
      <c r="D11" s="10">
        <v>4.6761999999999997</v>
      </c>
      <c r="E11" s="22">
        <v>5.8560999999999996</v>
      </c>
      <c r="F11" s="10">
        <v>6.2972000000000001</v>
      </c>
      <c r="G11" s="4">
        <v>6.7662000000000004</v>
      </c>
    </row>
    <row r="12" spans="2:7" x14ac:dyDescent="0.25">
      <c r="B12" s="7">
        <v>10</v>
      </c>
      <c r="C12" s="21">
        <v>5.7225999999999999</v>
      </c>
      <c r="D12" s="10">
        <v>6.3552</v>
      </c>
      <c r="E12" s="22">
        <v>5.8651999999999997</v>
      </c>
      <c r="F12" s="10">
        <v>6.0575000000000001</v>
      </c>
      <c r="G12" s="4">
        <v>6.3209</v>
      </c>
    </row>
    <row r="13" spans="2:7" x14ac:dyDescent="0.25">
      <c r="B13" s="2" t="s">
        <v>1</v>
      </c>
      <c r="C13" s="20">
        <f>AVERAGE(C3:C12)</f>
        <v>5.9003600000000009</v>
      </c>
      <c r="D13" s="18">
        <f>AVERAGE(D3:D12)</f>
        <v>5.8921500000000009</v>
      </c>
      <c r="E13" s="20">
        <f>AVERAGE(E3:E12)</f>
        <v>5.9796199999999997</v>
      </c>
      <c r="F13" s="18">
        <f>AVERAGE(F3:F12)</f>
        <v>6.2742799999999992</v>
      </c>
      <c r="G13" s="19">
        <f>AVERAGE(G3:G12)</f>
        <v>6.6829899999999993</v>
      </c>
    </row>
    <row r="14" spans="2:7" x14ac:dyDescent="0.25">
      <c r="B14" s="8" t="s">
        <v>2</v>
      </c>
      <c r="C14" s="14">
        <f>_xlfn.STDEV.S(C3:C12)</f>
        <v>0.46796906640408542</v>
      </c>
      <c r="D14" s="14">
        <f t="shared" ref="D14:G14" si="0">_xlfn.STDEV.S(D3:D12)</f>
        <v>0.6458838857634398</v>
      </c>
      <c r="E14" s="14">
        <f t="shared" si="0"/>
        <v>0.44891447787350819</v>
      </c>
      <c r="F14" s="14">
        <f t="shared" si="0"/>
        <v>0.28306375724678473</v>
      </c>
      <c r="G14" s="14">
        <f t="shared" si="0"/>
        <v>0.71512991896578548</v>
      </c>
    </row>
  </sheetData>
  <pageMargins left="0.7" right="0.7" top="0.75" bottom="0.75" header="0.3" footer="0.3"/>
  <headerFooter>
    <oddHeader>&amp;C&amp;G</oddHead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7060-490C-F844-8E4C-6B7E068A35BC}">
  <dimension ref="B2:G14"/>
  <sheetViews>
    <sheetView tabSelected="1" workbookViewId="0">
      <selection activeCell="I9" sqref="I9"/>
    </sheetView>
  </sheetViews>
  <sheetFormatPr defaultColWidth="11.42578125" defaultRowHeight="15" x14ac:dyDescent="0.25"/>
  <sheetData>
    <row r="2" spans="2:7" x14ac:dyDescent="0.25">
      <c r="B2" s="2" t="s">
        <v>0</v>
      </c>
      <c r="C2" s="23" t="s">
        <v>7</v>
      </c>
      <c r="D2" s="2" t="s">
        <v>3</v>
      </c>
      <c r="E2" s="23" t="s">
        <v>4</v>
      </c>
      <c r="F2" s="2" t="s">
        <v>5</v>
      </c>
      <c r="G2" s="12" t="s">
        <v>6</v>
      </c>
    </row>
    <row r="3" spans="2:7" x14ac:dyDescent="0.25">
      <c r="B3" s="7">
        <v>1</v>
      </c>
      <c r="C3" s="13">
        <v>5.8704999999999998</v>
      </c>
      <c r="D3" s="10">
        <v>5.8937999999999997</v>
      </c>
      <c r="E3" s="22">
        <v>5.8268000000000004</v>
      </c>
      <c r="F3" s="10">
        <v>5.9058999999999999</v>
      </c>
      <c r="G3" s="4">
        <v>5.8122999999999996</v>
      </c>
    </row>
    <row r="4" spans="2:7" x14ac:dyDescent="0.25">
      <c r="B4" s="7">
        <v>2</v>
      </c>
      <c r="C4" s="13">
        <v>5.8632</v>
      </c>
      <c r="D4" s="10">
        <v>5.8724999999999996</v>
      </c>
      <c r="E4" s="22">
        <v>5.8548999999999998</v>
      </c>
      <c r="F4" s="10">
        <v>5.9916</v>
      </c>
      <c r="G4" s="4">
        <v>6.2487000000000004</v>
      </c>
    </row>
    <row r="5" spans="2:7" x14ac:dyDescent="0.25">
      <c r="B5" s="7">
        <v>3</v>
      </c>
      <c r="C5" s="13">
        <v>5.8343999999999996</v>
      </c>
      <c r="D5" s="10">
        <v>5.8723000000000001</v>
      </c>
      <c r="E5" s="22">
        <v>5.83</v>
      </c>
      <c r="F5" s="10">
        <v>5.7980999999999998</v>
      </c>
      <c r="G5" s="4">
        <v>5.8998999999999997</v>
      </c>
    </row>
    <row r="6" spans="2:7" x14ac:dyDescent="0.25">
      <c r="B6" s="7">
        <v>4</v>
      </c>
      <c r="C6" s="21">
        <v>5.8183999999999996</v>
      </c>
      <c r="D6" s="10">
        <v>5.8471000000000002</v>
      </c>
      <c r="E6" s="22">
        <v>5.8407999999999998</v>
      </c>
      <c r="F6" s="10">
        <v>5.8783000000000003</v>
      </c>
      <c r="G6" s="4">
        <v>5.8258999999999999</v>
      </c>
    </row>
    <row r="7" spans="2:7" x14ac:dyDescent="0.25">
      <c r="B7" s="7">
        <v>5</v>
      </c>
      <c r="C7" s="21">
        <v>5.8078000000000003</v>
      </c>
      <c r="D7" s="10">
        <v>5.8263999999999996</v>
      </c>
      <c r="E7" s="22">
        <v>5.8719000000000001</v>
      </c>
      <c r="F7" s="10">
        <v>5.9175000000000004</v>
      </c>
      <c r="G7" s="4">
        <v>6.1912000000000003</v>
      </c>
    </row>
    <row r="8" spans="2:7" x14ac:dyDescent="0.25">
      <c r="B8" s="7">
        <v>6</v>
      </c>
      <c r="C8" s="21">
        <v>5.8231000000000002</v>
      </c>
      <c r="D8" s="10">
        <v>5.8028000000000004</v>
      </c>
      <c r="E8" s="22">
        <v>5.8000999999999996</v>
      </c>
      <c r="F8" s="10">
        <v>5.9378000000000002</v>
      </c>
      <c r="G8" s="4">
        <v>5.7767999999999997</v>
      </c>
    </row>
    <row r="9" spans="2:7" x14ac:dyDescent="0.25">
      <c r="B9" s="7">
        <v>7</v>
      </c>
      <c r="C9" s="21">
        <v>5.8665000000000003</v>
      </c>
      <c r="D9" s="10">
        <v>5.8616000000000001</v>
      </c>
      <c r="E9" s="22">
        <v>5.9787999999999997</v>
      </c>
      <c r="F9" s="10">
        <v>5.7854999999999999</v>
      </c>
      <c r="G9" s="4">
        <v>5.7290999999999999</v>
      </c>
    </row>
    <row r="10" spans="2:7" x14ac:dyDescent="0.25">
      <c r="B10" s="7">
        <v>8</v>
      </c>
      <c r="C10" s="21">
        <v>5.8506999999999998</v>
      </c>
      <c r="D10" s="10">
        <v>5.91</v>
      </c>
      <c r="E10" s="22">
        <v>6.0442</v>
      </c>
      <c r="F10" s="10">
        <v>5.9269999999999996</v>
      </c>
      <c r="G10" s="4">
        <v>6.0342000000000002</v>
      </c>
    </row>
    <row r="11" spans="2:7" x14ac:dyDescent="0.25">
      <c r="B11" s="7">
        <v>9</v>
      </c>
      <c r="C11" s="21">
        <v>5.8329000000000004</v>
      </c>
      <c r="D11" s="10">
        <v>5.8163999999999998</v>
      </c>
      <c r="E11" s="22">
        <v>5.8224</v>
      </c>
      <c r="F11" s="10">
        <v>5.7971000000000004</v>
      </c>
      <c r="G11" s="4">
        <v>5.92</v>
      </c>
    </row>
    <row r="12" spans="2:7" x14ac:dyDescent="0.25">
      <c r="B12" s="7">
        <v>10</v>
      </c>
      <c r="C12" s="21">
        <v>5.8343999999999996</v>
      </c>
      <c r="D12" s="10">
        <v>5.7991000000000001</v>
      </c>
      <c r="E12" s="22">
        <v>5.8215000000000003</v>
      </c>
      <c r="F12" s="10">
        <v>5.7946</v>
      </c>
      <c r="G12" s="4">
        <v>5.7472000000000003</v>
      </c>
    </row>
    <row r="13" spans="2:7" x14ac:dyDescent="0.25">
      <c r="B13" s="2" t="s">
        <v>1</v>
      </c>
      <c r="C13" s="20">
        <f>AVERAGE(C3:C12)</f>
        <v>5.8401900000000007</v>
      </c>
      <c r="D13" s="18">
        <f t="shared" ref="D13:G13" si="0">AVERAGE(D3:D12)</f>
        <v>5.8502000000000001</v>
      </c>
      <c r="E13" s="20">
        <f t="shared" si="0"/>
        <v>5.8691399999999998</v>
      </c>
      <c r="F13" s="18">
        <f t="shared" si="0"/>
        <v>5.8733400000000007</v>
      </c>
      <c r="G13" s="19">
        <f t="shared" si="0"/>
        <v>5.9185300000000005</v>
      </c>
    </row>
    <row r="14" spans="2:7" x14ac:dyDescent="0.25">
      <c r="B14" s="8" t="s">
        <v>2</v>
      </c>
      <c r="C14" s="14">
        <f>_xlfn.STDEV.S(C3:C12)</f>
        <v>2.1569033873176189E-2</v>
      </c>
      <c r="D14" s="11">
        <f t="shared" ref="D14:G14" si="1">_xlfn.STDEV.S(D3:D12)</f>
        <v>3.8252262097234868E-2</v>
      </c>
      <c r="E14" s="14">
        <f t="shared" si="1"/>
        <v>7.9043029069263526E-2</v>
      </c>
      <c r="F14" s="11">
        <f t="shared" si="1"/>
        <v>7.4120190681532042E-2</v>
      </c>
      <c r="G14" s="5">
        <f t="shared" si="1"/>
        <v>0.18326670334666803</v>
      </c>
    </row>
  </sheetData>
  <pageMargins left="0.7" right="0.7" top="0.75" bottom="0.75" header="0.3" footer="0.3"/>
  <headerFooter>
    <oddHeader>&amp;C&amp;G</oddHeader>
  </headerFooter>
  <legacyDrawingHF r:id="rId1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Holdout_L1</vt:lpstr>
      <vt:lpstr>k-fold_Cross-Validation_L2</vt:lpstr>
      <vt:lpstr>Holdout_L3</vt:lpstr>
      <vt:lpstr>k-fold_Cross-Validation_L3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White Bear</dc:creator>
  <cp:keywords/>
  <dc:description/>
  <cp:lastModifiedBy>Photchara Phoempool</cp:lastModifiedBy>
  <cp:revision/>
  <dcterms:created xsi:type="dcterms:W3CDTF">2026-07-09T04:55:53Z</dcterms:created>
  <dcterms:modified xsi:type="dcterms:W3CDTF">2026-07-11T06:41:41Z</dcterms:modified>
  <cp:category/>
  <cp:contentStatus/>
</cp:coreProperties>
</file>